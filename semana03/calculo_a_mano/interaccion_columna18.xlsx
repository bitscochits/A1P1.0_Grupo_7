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ubi\Downloads\"/>
    </mc:Choice>
  </mc:AlternateContent>
  <xr:revisionPtr revIDLastSave="0" documentId="13_ncr:1_{CB5E968C-9003-4962-BF93-D5548BA4436B}" xr6:coauthVersionLast="47" xr6:coauthVersionMax="47" xr10:uidLastSave="{00000000-0000-0000-0000-000000000000}"/>
  <bookViews>
    <workbookView xWindow="9510" yWindow="0" windowWidth="9780" windowHeight="11370" xr2:uid="{4AE65EBE-4BF5-45D0-A603-65D1C8FB30C3}"/>
  </bookViews>
  <sheets>
    <sheet name="Elemento 18" sheetId="1" r:id="rId1"/>
  </sheets>
  <definedNames>
    <definedName name="solver_adj" localSheetId="0" hidden="1">'Elemento 18'!$C$117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'Elemento 18'!$G$140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C78" i="1"/>
  <c r="C76" i="1"/>
  <c r="C57" i="1"/>
  <c r="C119" i="1"/>
  <c r="C39" i="1"/>
  <c r="E151" i="1"/>
  <c r="E145" i="1"/>
  <c r="E157" i="1" s="1"/>
  <c r="C151" i="1"/>
  <c r="C145" i="1"/>
  <c r="C157" i="1" s="1"/>
  <c r="C105" i="1"/>
  <c r="C102" i="1"/>
  <c r="C98" i="1"/>
  <c r="C85" i="1"/>
  <c r="C82" i="1"/>
  <c r="C10" i="1"/>
  <c r="C104" i="1" l="1"/>
  <c r="C84" i="1"/>
  <c r="C62" i="1"/>
  <c r="C63" i="1"/>
  <c r="C64" i="1"/>
  <c r="C65" i="1"/>
  <c r="D65" i="1" s="1"/>
  <c r="C58" i="1"/>
  <c r="C59" i="1" s="1"/>
  <c r="E66" i="1" s="1"/>
  <c r="C103" i="1"/>
  <c r="D103" i="1" s="1"/>
  <c r="E103" i="1" s="1"/>
  <c r="C83" i="1"/>
  <c r="C38" i="1"/>
  <c r="C123" i="1"/>
  <c r="C122" i="1"/>
  <c r="D122" i="1" s="1"/>
  <c r="E122" i="1" s="1"/>
  <c r="C124" i="1"/>
  <c r="C125" i="1"/>
  <c r="C118" i="1"/>
  <c r="E126" i="1" s="1"/>
  <c r="D104" i="1"/>
  <c r="E104" i="1" s="1"/>
  <c r="D105" i="1"/>
  <c r="E105" i="1" s="1"/>
  <c r="D102" i="1"/>
  <c r="E102" i="1" s="1"/>
  <c r="C99" i="1"/>
  <c r="E106" i="1" s="1"/>
  <c r="D84" i="1"/>
  <c r="D85" i="1"/>
  <c r="D82" i="1"/>
  <c r="E82" i="1" s="1"/>
  <c r="D62" i="1"/>
  <c r="D63" i="1"/>
  <c r="C79" i="1"/>
  <c r="E86" i="1" s="1"/>
  <c r="C43" i="1"/>
  <c r="D43" i="1" s="1"/>
  <c r="C42" i="1"/>
  <c r="D42" i="1" s="1"/>
  <c r="C45" i="1"/>
  <c r="D45" i="1" s="1"/>
  <c r="C44" i="1"/>
  <c r="D44" i="1" s="1"/>
  <c r="D83" i="1" l="1"/>
  <c r="D64" i="1"/>
  <c r="D123" i="1"/>
  <c r="E123" i="1" s="1"/>
  <c r="C109" i="1"/>
  <c r="C149" i="1" s="1"/>
  <c r="C153" i="1" s="1"/>
  <c r="E46" i="1"/>
  <c r="C137" i="1"/>
  <c r="C28" i="1"/>
  <c r="D124" i="1"/>
  <c r="E124" i="1" s="1"/>
  <c r="D125" i="1"/>
  <c r="E125" i="1" s="1"/>
  <c r="C108" i="1"/>
  <c r="E84" i="1"/>
  <c r="E85" i="1"/>
  <c r="E65" i="1"/>
  <c r="E63" i="1"/>
  <c r="E62" i="1"/>
  <c r="E44" i="1"/>
  <c r="E43" i="1"/>
  <c r="E45" i="1"/>
  <c r="E42" i="1"/>
  <c r="E83" i="1" l="1"/>
  <c r="E64" i="1"/>
  <c r="C129" i="1"/>
  <c r="C111" i="1"/>
  <c r="E149" i="1" s="1"/>
  <c r="E153" i="1" s="1"/>
  <c r="C49" i="1"/>
  <c r="C139" i="1"/>
  <c r="F151" i="1" s="1"/>
  <c r="D151" i="1"/>
  <c r="D145" i="1"/>
  <c r="D157" i="1" s="1"/>
  <c r="C30" i="1"/>
  <c r="F145" i="1" s="1"/>
  <c r="F157" i="1" s="1"/>
  <c r="C110" i="1"/>
  <c r="F149" i="1" s="1"/>
  <c r="F153" i="1" s="1"/>
  <c r="D149" i="1"/>
  <c r="D153" i="1" s="1"/>
  <c r="C128" i="1"/>
  <c r="C68" i="1"/>
  <c r="C48" i="1"/>
  <c r="C89" i="1" l="1"/>
  <c r="C88" i="1"/>
  <c r="C69" i="1"/>
  <c r="C131" i="1"/>
  <c r="E150" i="1" s="1"/>
  <c r="E152" i="1" s="1"/>
  <c r="C150" i="1"/>
  <c r="C152" i="1" s="1"/>
  <c r="C130" i="1"/>
  <c r="F150" i="1" s="1"/>
  <c r="F152" i="1" s="1"/>
  <c r="D150" i="1"/>
  <c r="D152" i="1" s="1"/>
  <c r="C70" i="1"/>
  <c r="F147" i="1" s="1"/>
  <c r="F155" i="1" s="1"/>
  <c r="D147" i="1"/>
  <c r="D155" i="1" s="1"/>
  <c r="C50" i="1"/>
  <c r="F146" i="1" s="1"/>
  <c r="F156" i="1" s="1"/>
  <c r="D146" i="1"/>
  <c r="D156" i="1" s="1"/>
  <c r="C51" i="1"/>
  <c r="E146" i="1" s="1"/>
  <c r="E156" i="1" s="1"/>
  <c r="C146" i="1"/>
  <c r="C156" i="1" s="1"/>
  <c r="C91" i="1" l="1"/>
  <c r="D148" i="1"/>
  <c r="D154" i="1" s="1"/>
  <c r="C90" i="1"/>
  <c r="F148" i="1" s="1"/>
  <c r="F154" i="1" s="1"/>
  <c r="C148" i="1"/>
  <c r="C154" i="1" s="1"/>
  <c r="C71" i="1"/>
  <c r="E147" i="1" s="1"/>
  <c r="E155" i="1" s="1"/>
  <c r="C147" i="1"/>
  <c r="C155" i="1" s="1"/>
  <c r="E148" i="1" l="1"/>
  <c r="E154" i="1" s="1"/>
</calcChain>
</file>

<file path=xl/sharedStrings.xml><?xml version="1.0" encoding="utf-8"?>
<sst xmlns="http://schemas.openxmlformats.org/spreadsheetml/2006/main" count="215" uniqueCount="75">
  <si>
    <t>Fila acero</t>
  </si>
  <si>
    <t>Fsi [kN]</t>
  </si>
  <si>
    <t>Hormigón</t>
  </si>
  <si>
    <t>Mn [kN m]</t>
  </si>
  <si>
    <t>Pn [kN]</t>
  </si>
  <si>
    <t>PREGUNTA 2: DIAGRAMA DE INTERACCIÓN</t>
  </si>
  <si>
    <t>Datos de entrada</t>
  </si>
  <si>
    <t>fc'</t>
  </si>
  <si>
    <t>Mpa</t>
  </si>
  <si>
    <t>b</t>
  </si>
  <si>
    <t>mm</t>
  </si>
  <si>
    <t>h</t>
  </si>
  <si>
    <t>Ag</t>
  </si>
  <si>
    <t>mm2</t>
  </si>
  <si>
    <r>
      <rPr>
        <sz val="11"/>
        <color theme="1"/>
        <rFont val="Symbol"/>
        <family val="1"/>
        <charset val="2"/>
      </rPr>
      <t>e</t>
    </r>
    <r>
      <rPr>
        <sz val="11"/>
        <color theme="1"/>
        <rFont val="Times New Roman"/>
        <family val="1"/>
      </rPr>
      <t>cu</t>
    </r>
  </si>
  <si>
    <t>Acero</t>
  </si>
  <si>
    <t>fy</t>
  </si>
  <si>
    <t>As1</t>
  </si>
  <si>
    <t>As2</t>
  </si>
  <si>
    <t>As3</t>
  </si>
  <si>
    <t>As4</t>
  </si>
  <si>
    <t>d1</t>
  </si>
  <si>
    <t>d2</t>
  </si>
  <si>
    <t>d3</t>
  </si>
  <si>
    <t>d4</t>
  </si>
  <si>
    <t>Ast</t>
  </si>
  <si>
    <t>Es</t>
  </si>
  <si>
    <t>Punto a. Compresión pura</t>
  </si>
  <si>
    <t>f</t>
  </si>
  <si>
    <t>P0</t>
  </si>
  <si>
    <t>kN</t>
  </si>
  <si>
    <t>kN m</t>
  </si>
  <si>
    <t>Punto b. Deformación inferior hormigón nula</t>
  </si>
  <si>
    <t>c</t>
  </si>
  <si>
    <t>a</t>
  </si>
  <si>
    <r>
      <rPr>
        <sz val="11"/>
        <color theme="1"/>
        <rFont val="Symbol"/>
        <family val="1"/>
        <charset val="2"/>
      </rPr>
      <t>e</t>
    </r>
    <r>
      <rPr>
        <sz val="11"/>
        <color theme="1"/>
        <rFont val="Times New Roman"/>
        <family val="1"/>
      </rPr>
      <t>si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</si>
  <si>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Times New Roman"/>
        <family val="1"/>
      </rPr>
      <t>si [Mpa]</t>
    </r>
  </si>
  <si>
    <r>
      <t xml:space="preserve">f </t>
    </r>
    <r>
      <rPr>
        <sz val="11"/>
        <color theme="1"/>
        <rFont val="Times New Roman"/>
        <family val="1"/>
      </rPr>
      <t>Pn</t>
    </r>
  </si>
  <si>
    <r>
      <t xml:space="preserve">f </t>
    </r>
    <r>
      <rPr>
        <sz val="11"/>
        <color theme="1"/>
        <rFont val="Times New Roman"/>
        <family val="1"/>
      </rPr>
      <t>Mn</t>
    </r>
  </si>
  <si>
    <t>M0</t>
  </si>
  <si>
    <t>Punto c. Punto de balance</t>
  </si>
  <si>
    <r>
      <t>e</t>
    </r>
    <r>
      <rPr>
        <sz val="11"/>
        <color theme="1"/>
        <rFont val="Times New Roman"/>
        <family val="1"/>
      </rPr>
      <t>s4</t>
    </r>
  </si>
  <si>
    <t>Estado</t>
  </si>
  <si>
    <t>Compresión - Fluencia</t>
  </si>
  <si>
    <t>Compresión - No fluencia</t>
  </si>
  <si>
    <t>Tracción - No fluencia</t>
  </si>
  <si>
    <t>Tracción - Fluencia</t>
  </si>
  <si>
    <t>Punto d. Transición deformación acero &gt; 0,003</t>
  </si>
  <si>
    <t>Punto e. Última falla dúctil</t>
  </si>
  <si>
    <t>Punto f. Flexión pura</t>
  </si>
  <si>
    <t>Punto g. Tracción pura</t>
  </si>
  <si>
    <t>a. Compresión pura</t>
  </si>
  <si>
    <t>b. Def inf hormigón nula</t>
  </si>
  <si>
    <t>c. Balance</t>
  </si>
  <si>
    <t>d. Transición</t>
  </si>
  <si>
    <t>e. Última falla dúctil</t>
  </si>
  <si>
    <t>f. Flexión pura</t>
  </si>
  <si>
    <t>g. Tracción pura</t>
  </si>
  <si>
    <r>
      <t xml:space="preserve">f </t>
    </r>
    <r>
      <rPr>
        <b/>
        <sz val="11"/>
        <color theme="1"/>
        <rFont val="Times New Roman"/>
        <family val="1"/>
      </rPr>
      <t>Mn [kN m]</t>
    </r>
  </si>
  <si>
    <r>
      <t xml:space="preserve">f </t>
    </r>
    <r>
      <rPr>
        <b/>
        <sz val="11"/>
        <color theme="1"/>
        <rFont val="Times New Roman"/>
        <family val="1"/>
      </rPr>
      <t>Pn</t>
    </r>
    <r>
      <rPr>
        <b/>
        <sz val="11"/>
        <color theme="1"/>
        <rFont val="Symbol"/>
        <family val="1"/>
        <charset val="2"/>
      </rPr>
      <t xml:space="preserve"> </t>
    </r>
    <r>
      <rPr>
        <b/>
        <sz val="11"/>
        <color theme="1"/>
        <rFont val="Times New Roman"/>
        <family val="1"/>
      </rPr>
      <t>[kN]</t>
    </r>
  </si>
  <si>
    <t>Buscar objetivo P0=0 iterando c</t>
  </si>
  <si>
    <t>5 barras Ø16</t>
  </si>
  <si>
    <t>3 barras Ø16</t>
  </si>
  <si>
    <t>Demandas elemento 18</t>
  </si>
  <si>
    <t>Caso</t>
  </si>
  <si>
    <t>M [kN m]</t>
  </si>
  <si>
    <t>P [kN]</t>
  </si>
  <si>
    <t>G</t>
  </si>
  <si>
    <t>Q</t>
  </si>
  <si>
    <t>EX</t>
  </si>
  <si>
    <t>EY</t>
  </si>
  <si>
    <t>Nota</t>
  </si>
  <si>
    <t>Capacidad nominal aproximada con el metodo manual; las demandas vienen del repositorio.</t>
  </si>
  <si>
    <t>Representacion</t>
  </si>
  <si>
    <t>16 barras Ø16 agrupadas en 4 capas equivalentes simetricas.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</si>
</sst>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7">
    <font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Times New Roman"/>
      <family val="1"/>
      <charset val="2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/>
    <xf numFmtId="165" fontId="2" fillId="2" borderId="1" xfId="0" applyNumberFormat="1" applyFont="1" applyFill="1" applyBorder="1"/>
    <xf numFmtId="0" fontId="5" fillId="2" borderId="0" xfId="0" applyFont="1" applyFill="1" applyAlignment="1">
      <alignment horizontal="left"/>
    </xf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2" fontId="2" fillId="2" borderId="0" xfId="0" applyNumberFormat="1" applyFont="1" applyFill="1" applyAlignment="1">
      <alignment horizontal="center"/>
    </xf>
    <xf numFmtId="2" fontId="2" fillId="2" borderId="0" xfId="0" applyNumberFormat="1" applyFont="1" applyFill="1"/>
    <xf numFmtId="2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2" fontId="2" fillId="4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2" borderId="2" xfId="0" applyFont="1" applyFill="1" applyBorder="1"/>
    <xf numFmtId="0" fontId="6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s-CL"/>
              <a:t>Diagrama de interaccion - Elemento 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2891950747433922"/>
          <c:y val="4.6310820736449043E-2"/>
          <c:w val="0.84594743516315341"/>
          <c:h val="0.725252322911690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'Elemento 18'!$F$144</c:f>
              <c:strCache>
                <c:ptCount val="1"/>
                <c:pt idx="0">
                  <c:v>f Pn [kN]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'Elemento 18'!$E$145:$E$157</c:f>
              <c:numCache>
                <c:formatCode>0.000</c:formatCode>
                <c:ptCount val="13"/>
                <c:pt idx="0" formatCode="General">
                  <c:v>0</c:v>
                </c:pt>
                <c:pt idx="1">
                  <c:v>312.24494620639007</c:v>
                </c:pt>
                <c:pt idx="2">
                  <c:v>351.63734794796164</c:v>
                </c:pt>
                <c:pt idx="3">
                  <c:v>385.08417888660244</c:v>
                </c:pt>
                <c:pt idx="4">
                  <c:v>424.12385718096618</c:v>
                </c:pt>
                <c:pt idx="5">
                  <c:v>251.21863552620309</c:v>
                </c:pt>
                <c:pt idx="6" formatCode="General">
                  <c:v>0</c:v>
                </c:pt>
                <c:pt idx="7">
                  <c:v>-251.21863552620309</c:v>
                </c:pt>
                <c:pt idx="8">
                  <c:v>-424.12385718096618</c:v>
                </c:pt>
                <c:pt idx="9">
                  <c:v>-385.08417888660244</c:v>
                </c:pt>
                <c:pt idx="10">
                  <c:v>-351.63734794796164</c:v>
                </c:pt>
                <c:pt idx="11">
                  <c:v>-312.24494620639007</c:v>
                </c:pt>
                <c:pt idx="12" formatCode="General">
                  <c:v>0</c:v>
                </c:pt>
              </c:numCache>
            </c:numRef>
          </c:xVal>
          <c:yVal>
            <c:numRef>
              <c:f>'Elemento 18'!$F$145:$F$157</c:f>
              <c:numCache>
                <c:formatCode>0.000</c:formatCode>
                <c:ptCount val="13"/>
                <c:pt idx="0" formatCode="0.00">
                  <c:v>3756.777328237024</c:v>
                </c:pt>
                <c:pt idx="1">
                  <c:v>2608.5459781846403</c:v>
                </c:pt>
                <c:pt idx="2">
                  <c:v>1728.4353523535001</c:v>
                </c:pt>
                <c:pt idx="3">
                  <c:v>1566.1687387539487</c:v>
                </c:pt>
                <c:pt idx="4">
                  <c:v>1203.7410362345577</c:v>
                </c:pt>
                <c:pt idx="5">
                  <c:v>6.6765847020633376E-5</c:v>
                </c:pt>
                <c:pt idx="6" formatCode="0.00">
                  <c:v>-1216.022551128</c:v>
                </c:pt>
                <c:pt idx="7" formatCode="0.00">
                  <c:v>6.6765847020633376E-5</c:v>
                </c:pt>
                <c:pt idx="8" formatCode="0.00">
                  <c:v>1203.7410362345577</c:v>
                </c:pt>
                <c:pt idx="9" formatCode="0.00">
                  <c:v>1566.1687387539487</c:v>
                </c:pt>
                <c:pt idx="10" formatCode="0.00">
                  <c:v>1728.4353523535001</c:v>
                </c:pt>
                <c:pt idx="11" formatCode="0.00">
                  <c:v>2608.5459781846403</c:v>
                </c:pt>
                <c:pt idx="12" formatCode="0.00">
                  <c:v>3756.777328237024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A6-496D-A026-099A3337370B}"/>
            </c:ext>
          </c:extLst>
        </c:ser>
        <c:ser>
          <c:idx val="18"/>
          <c:order val="8"/>
          <c:tx>
            <c:v>Demandas elemento 18</c:v>
          </c:tx>
          <c:spPr>
            <a:ln w="19050" cap="rnd">
              <a:noFill/>
              <a:round/>
            </a:ln>
            <a:effectLst/>
            <a:extLst>
              <a:ext uri="{91240B29-F687-4F45-9708-019B960494DF}">
                <a14:hiddenLine xmlns:a14="http://schemas.microsoft.com/office/drawing/2010/main" w="19050" cap="rnd">
                  <a:solidFill>
                    <a:srgbClr val="156082">
                      <a:lumMod val="80000"/>
                    </a:srgbClr>
                  </a:solidFill>
                  <a:round/>
                </a14:hiddenLine>
              </a:ext>
            </a:extLst>
          </c:spPr>
          <c:marker>
            <c:symbol val="circle"/>
            <c:size val="8"/>
            <c:spPr>
              <a:solidFill>
                <a:srgbClr val="FF0000"/>
              </a:solidFill>
              <a:ln w="9525">
                <a:noFill/>
              </a:ln>
              <a:effectLst/>
              <a:extLst>
                <a:ext uri="{91240B29-F687-4F45-9708-019B960494DF}">
                  <a14:hiddenLine xmlns:a14="http://schemas.microsoft.com/office/drawing/2010/main" w="9525">
                    <a:solidFill>
                      <a:srgbClr val="156082">
                        <a:lumMod val="80000"/>
                      </a:srgbClr>
                    </a:solidFill>
                  </a14:hiddenLine>
                </a:ext>
              </a:extLst>
            </c:spPr>
          </c:marker>
          <c:xVal>
            <c:numRef>
              <c:f>'Elemento 18'!$K$6:$K$9</c:f>
              <c:numCache>
                <c:formatCode>General</c:formatCode>
                <c:ptCount val="4"/>
                <c:pt idx="0">
                  <c:v>34.6</c:v>
                </c:pt>
                <c:pt idx="1">
                  <c:v>7.1</c:v>
                </c:pt>
                <c:pt idx="2">
                  <c:v>16.2</c:v>
                </c:pt>
                <c:pt idx="3">
                  <c:v>33.799999999999997</c:v>
                </c:pt>
              </c:numCache>
            </c:numRef>
          </c:xVal>
          <c:yVal>
            <c:numRef>
              <c:f>'Elemento 18'!$L$6:$L$9</c:f>
              <c:numCache>
                <c:formatCode>General</c:formatCode>
                <c:ptCount val="4"/>
                <c:pt idx="0">
                  <c:v>3385.9</c:v>
                </c:pt>
                <c:pt idx="1">
                  <c:v>684.5</c:v>
                </c:pt>
                <c:pt idx="2">
                  <c:v>4.8</c:v>
                </c:pt>
                <c:pt idx="3">
                  <c:v>50.9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57-49CA-BEB3-AEA402E63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00768"/>
        <c:axId val="36501248"/>
      </c:scatterChart>
      <c:scatterChart>
        <c:scatterStyle val="lineMarker"/>
        <c:varyColors val="0"/>
        <c:ser>
          <c:idx val="1"/>
          <c:order val="1"/>
          <c:tx>
            <c:v>Pn [kN]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6350">
                <a:solidFill>
                  <a:schemeClr val="accent5"/>
                </a:solidFill>
              </a:ln>
              <a:effectLst/>
            </c:spPr>
          </c:marker>
          <c:xVal>
            <c:numRef>
              <c:f>'Elemento 18'!$C$145:$C$157</c:f>
              <c:numCache>
                <c:formatCode>0.000</c:formatCode>
                <c:ptCount val="13"/>
                <c:pt idx="0" formatCode="0.00">
                  <c:v>0</c:v>
                </c:pt>
                <c:pt idx="1">
                  <c:v>480.37684031752315</c:v>
                </c:pt>
                <c:pt idx="2">
                  <c:v>540.98053530455638</c:v>
                </c:pt>
                <c:pt idx="3">
                  <c:v>525.11478939082144</c:v>
                </c:pt>
                <c:pt idx="4">
                  <c:v>471.2487302010735</c:v>
                </c:pt>
                <c:pt idx="5">
                  <c:v>279.13181725133677</c:v>
                </c:pt>
                <c:pt idx="6" formatCode="0.00">
                  <c:v>0</c:v>
                </c:pt>
                <c:pt idx="7" formatCode="0.00">
                  <c:v>-279.13181725133677</c:v>
                </c:pt>
                <c:pt idx="8" formatCode="0.00">
                  <c:v>-471.2487302010735</c:v>
                </c:pt>
                <c:pt idx="9" formatCode="0.00">
                  <c:v>-525.11478939082144</c:v>
                </c:pt>
                <c:pt idx="10" formatCode="0.00">
                  <c:v>-540.98053530455638</c:v>
                </c:pt>
                <c:pt idx="11" formatCode="0.00">
                  <c:v>-480.37684031752315</c:v>
                </c:pt>
                <c:pt idx="12" formatCode="0.00">
                  <c:v>0</c:v>
                </c:pt>
              </c:numCache>
            </c:numRef>
          </c:xVal>
          <c:yVal>
            <c:numRef>
              <c:f>'Elemento 18'!$D$145:$D$157</c:f>
              <c:numCache>
                <c:formatCode>0.000</c:formatCode>
                <c:ptCount val="13"/>
                <c:pt idx="0" formatCode="0.00">
                  <c:v>7224.5717850711999</c:v>
                </c:pt>
                <c:pt idx="1">
                  <c:v>4013.1476587456</c:v>
                </c:pt>
                <c:pt idx="2">
                  <c:v>2659.1313113130768</c:v>
                </c:pt>
                <c:pt idx="3">
                  <c:v>2135.6846437553845</c:v>
                </c:pt>
                <c:pt idx="4">
                  <c:v>1337.4900402606195</c:v>
                </c:pt>
                <c:pt idx="5">
                  <c:v>7.4184274467370415E-5</c:v>
                </c:pt>
                <c:pt idx="6" formatCode="0.00">
                  <c:v>-1351.1361679199999</c:v>
                </c:pt>
                <c:pt idx="7" formatCode="0.00">
                  <c:v>-7.4184274467370415E-5</c:v>
                </c:pt>
                <c:pt idx="8" formatCode="0.00">
                  <c:v>1337.4900402606195</c:v>
                </c:pt>
                <c:pt idx="9" formatCode="0.00">
                  <c:v>2135.6846437553845</c:v>
                </c:pt>
                <c:pt idx="10" formatCode="0.00">
                  <c:v>2659.1313113130768</c:v>
                </c:pt>
                <c:pt idx="11" formatCode="0.00">
                  <c:v>4013.1476587456</c:v>
                </c:pt>
                <c:pt idx="12" formatCode="0.00">
                  <c:v>7224.5717850711999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2A6-496D-A026-099A3337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00768"/>
        <c:axId val="36501248"/>
        <c:extLst>
          <c:ext xmlns:c15="http://schemas.microsoft.com/office/drawing/2012/chart" uri="{02D57815-91ED-43cb-92C2-25804820EDAC}">
            <c15:filteredScatterSeries>
              <c15:ser>
                <c:idx val="12"/>
                <c:order val="2"/>
                <c:spPr>
                  <a:ln w="190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2"/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'Elemento 18'!$E$190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'Elemento 18'!$C$190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C-D2D1-4453-8CF1-B3FC0063710F}"/>
                  </c:ext>
                </c:extLst>
              </c15:ser>
            </c15:filteredScatterSeries>
            <c15:filteredScatterSeries>
              <c15:ser>
                <c:idx val="13"/>
                <c:order val="3"/>
                <c:spPr>
                  <a:ln w="19050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18'!$E$191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18'!$C$191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2D1-4453-8CF1-B3FC0063710F}"/>
                  </c:ext>
                </c:extLst>
              </c15:ser>
            </c15:filteredScatterSeries>
            <c15:filteredScatterSeries>
              <c15:ser>
                <c:idx val="14"/>
                <c:order val="4"/>
                <c:spPr>
                  <a:ln w="19050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18'!$E$192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18'!$C$192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D2D1-4453-8CF1-B3FC0063710F}"/>
                  </c:ext>
                </c:extLst>
              </c15:ser>
            </c15:filteredScatterSeries>
            <c15:filteredScatterSeries>
              <c15:ser>
                <c:idx val="15"/>
                <c:order val="5"/>
                <c:spPr>
                  <a:ln w="19050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Pt>
                  <c:idx val="0"/>
                  <c:marker>
                    <c:symbol val="circle"/>
                    <c:size val="5"/>
                    <c:spPr>
                      <a:solidFill>
                        <a:schemeClr val="accent1"/>
                      </a:solidFill>
                      <a:ln w="9525">
                        <a:solidFill>
                          <a:schemeClr val="accent4">
                            <a:lumMod val="80000"/>
                            <a:lumOff val="20000"/>
                          </a:schemeClr>
                        </a:solidFill>
                      </a:ln>
                      <a:effectLst/>
                    </c:spPr>
                  </c:marker>
                  <c:bubble3D val="0"/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2-D2D1-4453-8CF1-B3FC0063710F}"/>
                    </c:ext>
                  </c:extLst>
                </c:dPt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18'!$E$193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18'!$C$193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D2D1-4453-8CF1-B3FC0063710F}"/>
                  </c:ext>
                </c:extLst>
              </c15:ser>
            </c15:filteredScatterSeries>
            <c15:filteredScatterSeries>
              <c15:ser>
                <c:idx val="16"/>
                <c:order val="6"/>
                <c:spPr>
                  <a:ln w="19050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18'!$E$194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18'!$C$194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2D1-4453-8CF1-B3FC0063710F}"/>
                  </c:ext>
                </c:extLst>
              </c15:ser>
            </c15:filteredScatterSeries>
            <c15:filteredScatterSeries>
              <c15:ser>
                <c:idx val="17"/>
                <c:order val="7"/>
                <c:spPr>
                  <a:ln w="19050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18'!$E$195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'Elemento 18'!$C$195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D2D1-4453-8CF1-B3FC0063710F}"/>
                  </c:ext>
                </c:extLst>
              </c15:ser>
            </c15:filteredScatterSeries>
          </c:ext>
        </c:extLst>
      </c:scatterChart>
      <c:valAx>
        <c:axId val="36500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L"/>
                  <a:t>Mn [kN m]</a:t>
                </a:r>
              </a:p>
            </c:rich>
          </c:tx>
          <c:layout>
            <c:manualLayout>
              <c:xMode val="edge"/>
              <c:yMode val="edge"/>
              <c:x val="0.49799028669612633"/>
              <c:y val="0.830271558520938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L"/>
          </a:p>
        </c:txPr>
        <c:crossAx val="36501248"/>
        <c:crosses val="autoZero"/>
        <c:crossBetween val="midCat"/>
      </c:valAx>
      <c:valAx>
        <c:axId val="3650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CL"/>
                  <a:t>Pn [kN]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s-CL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L"/>
          </a:p>
        </c:txPr>
        <c:crossAx val="36500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482129414485513"/>
          <c:y val="0.91035178821825358"/>
          <c:w val="0.55048031030420441"/>
          <c:h val="5.174610023062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461010</xdr:colOff>
      <xdr:row>127</xdr:row>
      <xdr:rowOff>10080</xdr:rowOff>
    </xdr:from>
    <xdr:to>
      <xdr:col>19</xdr:col>
      <xdr:colOff>574524</xdr:colOff>
      <xdr:row>161</xdr:row>
      <xdr:rowOff>15241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D7ABD60-7A44-567B-71BF-F201E52A2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A4D8C8A-EE54-4E37-BA19-F1167BC0BCC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dfcbba7-a0c4-4723-af7b-a4a342094aa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7553-F9AF-4D08-A43A-08B050C2EE60}">
  <dimension ref="B2:L167"/>
  <sheetViews>
    <sheetView tabSelected="1" topLeftCell="I118" zoomScale="63" workbookViewId="0">
      <selection activeCell="L122" sqref="L122"/>
    </sheetView>
  </sheetViews>
  <sheetFormatPr baseColWidth="10" defaultColWidth="11.54296875" defaultRowHeight="14"/>
  <cols>
    <col min="1" max="1" width="4" style="2" customWidth="1"/>
    <col min="2" max="2" width="22.36328125" style="2" customWidth="1"/>
    <col min="3" max="3" width="11.54296875" style="2"/>
    <col min="4" max="4" width="13.36328125" style="2" customWidth="1"/>
    <col min="5" max="5" width="12.453125" style="2" customWidth="1"/>
    <col min="6" max="16384" width="11.54296875" style="2"/>
  </cols>
  <sheetData>
    <row r="2" spans="2:12">
      <c r="B2" s="1" t="s">
        <v>5</v>
      </c>
    </row>
    <row r="3" spans="2:12">
      <c r="B3" s="1"/>
    </row>
    <row r="4" spans="2:12">
      <c r="B4" s="1" t="s">
        <v>6</v>
      </c>
      <c r="J4" s="2" t="s">
        <v>63</v>
      </c>
    </row>
    <row r="5" spans="2:12">
      <c r="J5" s="2" t="s">
        <v>64</v>
      </c>
      <c r="K5" s="2" t="s">
        <v>65</v>
      </c>
      <c r="L5" s="2" t="s">
        <v>66</v>
      </c>
    </row>
    <row r="6" spans="2:12">
      <c r="B6" s="3" t="s">
        <v>2</v>
      </c>
      <c r="J6" s="2" t="s">
        <v>67</v>
      </c>
      <c r="K6" s="2">
        <v>34.6</v>
      </c>
      <c r="L6" s="2">
        <v>3385.9</v>
      </c>
    </row>
    <row r="7" spans="2:12">
      <c r="B7" s="3" t="s">
        <v>7</v>
      </c>
      <c r="C7" s="3">
        <v>28</v>
      </c>
      <c r="D7" s="3" t="s">
        <v>8</v>
      </c>
      <c r="J7" s="2" t="s">
        <v>68</v>
      </c>
      <c r="K7" s="2">
        <v>7.1</v>
      </c>
      <c r="L7" s="2">
        <v>684.5</v>
      </c>
    </row>
    <row r="8" spans="2:12">
      <c r="B8" s="3" t="s">
        <v>9</v>
      </c>
      <c r="C8" s="3">
        <v>500</v>
      </c>
      <c r="D8" s="3" t="s">
        <v>10</v>
      </c>
      <c r="J8" s="2" t="s">
        <v>69</v>
      </c>
      <c r="K8" s="2">
        <v>16.2</v>
      </c>
      <c r="L8" s="2">
        <v>4.8</v>
      </c>
    </row>
    <row r="9" spans="2:12">
      <c r="B9" s="3" t="s">
        <v>11</v>
      </c>
      <c r="C9" s="3">
        <v>500</v>
      </c>
      <c r="D9" s="3" t="s">
        <v>10</v>
      </c>
      <c r="J9" s="2" t="s">
        <v>70</v>
      </c>
      <c r="K9" s="2">
        <v>33.799999999999997</v>
      </c>
      <c r="L9" s="2">
        <v>50.9</v>
      </c>
    </row>
    <row r="10" spans="2:12">
      <c r="B10" s="3" t="s">
        <v>12</v>
      </c>
      <c r="C10" s="3">
        <f>C8*C9</f>
        <v>250000</v>
      </c>
      <c r="D10" s="3" t="s">
        <v>13</v>
      </c>
    </row>
    <row r="11" spans="2:12">
      <c r="B11" s="4" t="s">
        <v>14</v>
      </c>
      <c r="C11" s="3">
        <v>3.0000000000000001E-3</v>
      </c>
      <c r="D11" s="3"/>
      <c r="J11" s="2" t="s">
        <v>71</v>
      </c>
      <c r="K11" s="2" t="s">
        <v>72</v>
      </c>
    </row>
    <row r="12" spans="2:12">
      <c r="B12" s="5" t="s">
        <v>9</v>
      </c>
      <c r="C12" s="6">
        <v>0.85</v>
      </c>
      <c r="D12" s="3"/>
      <c r="J12" s="2" t="s">
        <v>73</v>
      </c>
      <c r="K12" s="2" t="s">
        <v>74</v>
      </c>
    </row>
    <row r="15" spans="2:12">
      <c r="B15" s="3" t="s">
        <v>15</v>
      </c>
    </row>
    <row r="16" spans="2:12">
      <c r="B16" s="3" t="s">
        <v>16</v>
      </c>
      <c r="C16" s="3">
        <v>420</v>
      </c>
      <c r="D16" s="3" t="s">
        <v>8</v>
      </c>
    </row>
    <row r="17" spans="2:8">
      <c r="B17" s="3" t="s">
        <v>26</v>
      </c>
      <c r="C17" s="3">
        <v>200000</v>
      </c>
      <c r="D17" s="3" t="s">
        <v>8</v>
      </c>
    </row>
    <row r="18" spans="2:8">
      <c r="B18" s="3" t="s">
        <v>17</v>
      </c>
      <c r="C18" s="6">
        <v>1005.309649</v>
      </c>
      <c r="D18" s="3" t="s">
        <v>13</v>
      </c>
      <c r="E18" s="2" t="s">
        <v>61</v>
      </c>
      <c r="F18" s="3" t="s">
        <v>21</v>
      </c>
      <c r="G18" s="3">
        <v>58</v>
      </c>
      <c r="H18" s="3" t="s">
        <v>10</v>
      </c>
    </row>
    <row r="19" spans="2:8">
      <c r="B19" s="3" t="s">
        <v>18</v>
      </c>
      <c r="C19" s="6">
        <v>603.185789</v>
      </c>
      <c r="D19" s="3" t="s">
        <v>13</v>
      </c>
      <c r="E19" s="2" t="s">
        <v>62</v>
      </c>
      <c r="F19" s="3" t="s">
        <v>22</v>
      </c>
      <c r="G19" s="3">
        <v>186</v>
      </c>
      <c r="H19" s="3" t="s">
        <v>10</v>
      </c>
    </row>
    <row r="20" spans="2:8">
      <c r="B20" s="3" t="s">
        <v>19</v>
      </c>
      <c r="C20" s="6">
        <v>603.185789</v>
      </c>
      <c r="D20" s="3" t="s">
        <v>13</v>
      </c>
      <c r="E20" s="2" t="s">
        <v>62</v>
      </c>
      <c r="F20" s="3" t="s">
        <v>23</v>
      </c>
      <c r="G20" s="3">
        <v>314</v>
      </c>
      <c r="H20" s="3" t="s">
        <v>10</v>
      </c>
    </row>
    <row r="21" spans="2:8">
      <c r="B21" s="3" t="s">
        <v>20</v>
      </c>
      <c r="C21" s="6">
        <v>1005.309649</v>
      </c>
      <c r="D21" s="3" t="s">
        <v>13</v>
      </c>
      <c r="E21" s="2" t="s">
        <v>61</v>
      </c>
      <c r="F21" s="3" t="s">
        <v>24</v>
      </c>
      <c r="G21" s="3">
        <v>442</v>
      </c>
      <c r="H21" s="3" t="s">
        <v>10</v>
      </c>
    </row>
    <row r="22" spans="2:8">
      <c r="B22" s="3" t="s">
        <v>25</v>
      </c>
      <c r="C22" s="6">
        <f>SUM(C18:C21)</f>
        <v>3216.9908759999998</v>
      </c>
      <c r="D22" s="3" t="s">
        <v>13</v>
      </c>
    </row>
    <row r="25" spans="2:8">
      <c r="B25" s="38" t="s">
        <v>27</v>
      </c>
      <c r="C25" s="38"/>
    </row>
    <row r="27" spans="2:8">
      <c r="B27" s="5" t="s">
        <v>28</v>
      </c>
      <c r="C27" s="3">
        <v>0.65</v>
      </c>
      <c r="D27" s="3"/>
    </row>
    <row r="28" spans="2:8">
      <c r="B28" s="3" t="s">
        <v>29</v>
      </c>
      <c r="C28" s="8">
        <f>(0.85*C7*(C10-C22)+C16*C22)/1000</f>
        <v>7224.5717850711999</v>
      </c>
      <c r="D28" s="3" t="s">
        <v>30</v>
      </c>
    </row>
    <row r="29" spans="2:8">
      <c r="B29" s="3" t="s">
        <v>39</v>
      </c>
      <c r="C29" s="8">
        <v>0</v>
      </c>
      <c r="D29" s="3" t="s">
        <v>31</v>
      </c>
    </row>
    <row r="30" spans="2:8">
      <c r="B30" s="5" t="s">
        <v>37</v>
      </c>
      <c r="C30" s="8">
        <f>C27*C28*0.8</f>
        <v>3756.777328237024</v>
      </c>
      <c r="D30" s="3" t="s">
        <v>30</v>
      </c>
    </row>
    <row r="31" spans="2:8">
      <c r="B31" s="5" t="s">
        <v>38</v>
      </c>
      <c r="C31" s="3">
        <v>0</v>
      </c>
      <c r="D31" s="3" t="s">
        <v>31</v>
      </c>
    </row>
    <row r="34" spans="2:7">
      <c r="B34" s="1" t="s">
        <v>32</v>
      </c>
    </row>
    <row r="36" spans="2:7">
      <c r="B36" s="5" t="s">
        <v>28</v>
      </c>
      <c r="C36" s="3">
        <v>0.65</v>
      </c>
      <c r="D36" s="3"/>
    </row>
    <row r="37" spans="2:7">
      <c r="B37" s="3" t="s">
        <v>33</v>
      </c>
      <c r="C37" s="3">
        <v>350</v>
      </c>
      <c r="D37" s="3" t="s">
        <v>10</v>
      </c>
    </row>
    <row r="38" spans="2:7">
      <c r="B38" s="3" t="s">
        <v>34</v>
      </c>
      <c r="C38" s="3">
        <f>C12*C37</f>
        <v>297.5</v>
      </c>
      <c r="D38" s="3" t="s">
        <v>10</v>
      </c>
    </row>
    <row r="39" spans="2:7">
      <c r="B39" s="5" t="s">
        <v>41</v>
      </c>
      <c r="C39" s="9">
        <f>-C11*(C37-G21)/C37</f>
        <v>7.8857142857142863E-4</v>
      </c>
      <c r="D39" s="3"/>
    </row>
    <row r="41" spans="2:7">
      <c r="B41" s="10" t="s">
        <v>0</v>
      </c>
      <c r="C41" s="11" t="s">
        <v>35</v>
      </c>
      <c r="D41" s="11" t="s">
        <v>36</v>
      </c>
      <c r="E41" s="10" t="s">
        <v>1</v>
      </c>
      <c r="F41" s="36" t="s">
        <v>42</v>
      </c>
      <c r="G41" s="36"/>
    </row>
    <row r="42" spans="2:7">
      <c r="B42" s="10">
        <v>1</v>
      </c>
      <c r="C42" s="12">
        <f>(($C$39+$C$11)*G18/$G$21)-$C$11</f>
        <v>-2.502857142857143E-3</v>
      </c>
      <c r="D42" s="13">
        <f>-MAX(MIN(210000*C42,$C$16),-420)</f>
        <v>420</v>
      </c>
      <c r="E42" s="13">
        <f>D42*C18/1000</f>
        <v>422.23005258000001</v>
      </c>
      <c r="F42" s="36" t="s">
        <v>43</v>
      </c>
      <c r="G42" s="36"/>
    </row>
    <row r="43" spans="2:7">
      <c r="B43" s="10">
        <v>2</v>
      </c>
      <c r="C43" s="12">
        <f>(($C$39+$C$11)*G19/$G$21)-$C$11</f>
        <v>-1.4057142857142857E-3</v>
      </c>
      <c r="D43" s="13">
        <f t="shared" ref="D43:D45" si="0">-MAX(MIN(210000*C43,$C$16),-420)</f>
        <v>295.2</v>
      </c>
      <c r="E43" s="13">
        <f>D43*C19/1000</f>
        <v>178.06044491279999</v>
      </c>
      <c r="F43" s="36" t="s">
        <v>44</v>
      </c>
      <c r="G43" s="36"/>
    </row>
    <row r="44" spans="2:7">
      <c r="B44" s="10">
        <v>3</v>
      </c>
      <c r="C44" s="12">
        <f>(($C$39+$C$11)*G20/$G$21)-$C$11</f>
        <v>-3.0857142857142889E-4</v>
      </c>
      <c r="D44" s="13">
        <f t="shared" si="0"/>
        <v>64.800000000000068</v>
      </c>
      <c r="E44" s="13">
        <f>D44*C20/1000</f>
        <v>39.086439127200045</v>
      </c>
      <c r="F44" s="36" t="s">
        <v>44</v>
      </c>
      <c r="G44" s="36"/>
    </row>
    <row r="45" spans="2:7">
      <c r="B45" s="10">
        <v>4</v>
      </c>
      <c r="C45" s="12">
        <f>(($C$39+$C$11)*G21/$G$21)-$C$11</f>
        <v>7.8857142857142798E-4</v>
      </c>
      <c r="D45" s="13">
        <f t="shared" si="0"/>
        <v>-165.59999999999988</v>
      </c>
      <c r="E45" s="13">
        <f>D45*C21/1000</f>
        <v>-166.47927787439988</v>
      </c>
      <c r="F45" s="36" t="s">
        <v>44</v>
      </c>
      <c r="G45" s="36"/>
    </row>
    <row r="46" spans="2:7">
      <c r="B46" s="10" t="s">
        <v>2</v>
      </c>
      <c r="C46" s="10"/>
      <c r="D46" s="10"/>
      <c r="E46" s="13">
        <f>0.85*C7*C38*C8/1000</f>
        <v>3540.25</v>
      </c>
    </row>
    <row r="48" spans="2:7">
      <c r="B48" s="3" t="s">
        <v>29</v>
      </c>
      <c r="C48" s="6">
        <f>SUM(E42:E46)</f>
        <v>4013.1476587456</v>
      </c>
      <c r="D48" s="3" t="s">
        <v>30</v>
      </c>
    </row>
    <row r="49" spans="2:7">
      <c r="B49" s="3" t="s">
        <v>39</v>
      </c>
      <c r="C49" s="6">
        <f>(E42*(0.5*$C$9-G18)+E43*(0.5*$C$9-G19)+E44*(0.5*$C$9-G20)+E45*(0.5*$C$9-G21)+E46*(0.5*$C$9-0.5*C38))/1000</f>
        <v>480.37684031752315</v>
      </c>
      <c r="D49" s="3" t="s">
        <v>31</v>
      </c>
    </row>
    <row r="50" spans="2:7">
      <c r="B50" s="5" t="s">
        <v>37</v>
      </c>
      <c r="C50" s="6">
        <f>C36*C48</f>
        <v>2608.5459781846403</v>
      </c>
      <c r="D50" s="3" t="s">
        <v>30</v>
      </c>
    </row>
    <row r="51" spans="2:7">
      <c r="B51" s="5" t="s">
        <v>38</v>
      </c>
      <c r="C51" s="6">
        <f>C36*C49</f>
        <v>312.24494620639007</v>
      </c>
      <c r="D51" s="3" t="s">
        <v>31</v>
      </c>
    </row>
    <row r="52" spans="2:7">
      <c r="B52" s="14"/>
    </row>
    <row r="53" spans="2:7">
      <c r="B53" s="14"/>
    </row>
    <row r="54" spans="2:7">
      <c r="B54" s="1" t="s">
        <v>40</v>
      </c>
    </row>
    <row r="55" spans="2:7">
      <c r="B55" s="14"/>
    </row>
    <row r="56" spans="2:7">
      <c r="B56" s="5" t="s">
        <v>28</v>
      </c>
      <c r="C56" s="3">
        <v>0.65</v>
      </c>
      <c r="D56" s="3"/>
    </row>
    <row r="57" spans="2:7">
      <c r="B57" s="5" t="s">
        <v>41</v>
      </c>
      <c r="C57" s="3">
        <f>C16/C17</f>
        <v>2.0999999999999999E-3</v>
      </c>
      <c r="D57" s="3"/>
    </row>
    <row r="58" spans="2:7">
      <c r="B58" s="3" t="s">
        <v>33</v>
      </c>
      <c r="C58" s="3">
        <f>C11*G21/(C11+C57)</f>
        <v>260</v>
      </c>
      <c r="D58" s="3" t="s">
        <v>10</v>
      </c>
    </row>
    <row r="59" spans="2:7">
      <c r="B59" s="3" t="s">
        <v>34</v>
      </c>
      <c r="C59" s="8">
        <f>C12*C58</f>
        <v>221</v>
      </c>
      <c r="D59" s="3" t="s">
        <v>10</v>
      </c>
    </row>
    <row r="61" spans="2:7">
      <c r="B61" s="10" t="s">
        <v>0</v>
      </c>
      <c r="C61" s="11" t="s">
        <v>35</v>
      </c>
      <c r="D61" s="11" t="s">
        <v>36</v>
      </c>
      <c r="E61" s="10" t="s">
        <v>1</v>
      </c>
      <c r="F61" s="36" t="s">
        <v>42</v>
      </c>
      <c r="G61" s="36"/>
    </row>
    <row r="62" spans="2:7">
      <c r="B62" s="10">
        <v>1</v>
      </c>
      <c r="C62" s="12">
        <f>(($C$57+$C$11)*G18/$G$21)-$C$11</f>
        <v>-2.3307692307692309E-3</v>
      </c>
      <c r="D62" s="13">
        <f>-MAX(MIN(210000*C62,$C$16),-420)</f>
        <v>420</v>
      </c>
      <c r="E62" s="13">
        <f>D62*C18/1000</f>
        <v>422.23005258000001</v>
      </c>
      <c r="F62" s="36" t="s">
        <v>43</v>
      </c>
      <c r="G62" s="36"/>
    </row>
    <row r="63" spans="2:7">
      <c r="B63" s="10">
        <v>2</v>
      </c>
      <c r="C63" s="12">
        <f t="shared" ref="C63:C64" si="1">(($C$57+$C$11)*G19/$G$21)-$C$11</f>
        <v>-8.5384615384615382E-4</v>
      </c>
      <c r="D63" s="13">
        <f t="shared" ref="D63:D65" si="2">-MAX(MIN(210000*C63,$C$16),-420)</f>
        <v>179.30769230769229</v>
      </c>
      <c r="E63" s="13">
        <f t="shared" ref="E63:E65" si="3">D63*C19/1000</f>
        <v>108.15585185838461</v>
      </c>
      <c r="F63" s="36" t="s">
        <v>44</v>
      </c>
      <c r="G63" s="36"/>
    </row>
    <row r="64" spans="2:7">
      <c r="B64" s="10">
        <v>3</v>
      </c>
      <c r="C64" s="12">
        <f t="shared" si="1"/>
        <v>6.2307692307692324E-4</v>
      </c>
      <c r="D64" s="13">
        <f t="shared" si="2"/>
        <v>-130.84615384615387</v>
      </c>
      <c r="E64" s="13">
        <f t="shared" si="3"/>
        <v>-78.924540545307707</v>
      </c>
      <c r="F64" s="36" t="s">
        <v>45</v>
      </c>
      <c r="G64" s="36"/>
    </row>
    <row r="65" spans="2:7">
      <c r="B65" s="10">
        <v>4</v>
      </c>
      <c r="C65" s="12">
        <f>(($C$57+$C$11)*G21/$G$21)-$C$11</f>
        <v>2.1000000000000003E-3</v>
      </c>
      <c r="D65" s="13">
        <f t="shared" si="2"/>
        <v>-420</v>
      </c>
      <c r="E65" s="13">
        <f t="shared" si="3"/>
        <v>-422.23005258000001</v>
      </c>
      <c r="F65" s="36" t="s">
        <v>46</v>
      </c>
      <c r="G65" s="36"/>
    </row>
    <row r="66" spans="2:7">
      <c r="B66" s="10" t="s">
        <v>2</v>
      </c>
      <c r="C66" s="10"/>
      <c r="D66" s="10"/>
      <c r="E66" s="13">
        <f>0.85*C8*C59*C7/1000</f>
        <v>2629.9</v>
      </c>
    </row>
    <row r="67" spans="2:7">
      <c r="B67" s="14"/>
    </row>
    <row r="68" spans="2:7">
      <c r="B68" s="3" t="s">
        <v>29</v>
      </c>
      <c r="C68" s="6">
        <f>SUM(E62:E66)</f>
        <v>2659.1313113130768</v>
      </c>
      <c r="D68" s="3" t="s">
        <v>30</v>
      </c>
    </row>
    <row r="69" spans="2:7">
      <c r="B69" s="3" t="s">
        <v>39</v>
      </c>
      <c r="C69" s="6">
        <f>(ABS(E62)*(0.5*C9-G18)+ABS(E63)*(0.5*C9-G19)+ABS(E64)*(G20-0.5*C9)+ABS(E65)*(G21-0.5*C9)+ABS(E66)*(0.5*C9-0.5*C59))/1000</f>
        <v>540.98053530455638</v>
      </c>
      <c r="D69" s="3" t="s">
        <v>31</v>
      </c>
    </row>
    <row r="70" spans="2:7">
      <c r="B70" s="5" t="s">
        <v>37</v>
      </c>
      <c r="C70" s="6">
        <f>C56*C68</f>
        <v>1728.4353523535001</v>
      </c>
      <c r="D70" s="3" t="s">
        <v>30</v>
      </c>
    </row>
    <row r="71" spans="2:7">
      <c r="B71" s="5" t="s">
        <v>38</v>
      </c>
      <c r="C71" s="6">
        <f>C56*C69</f>
        <v>351.63734794796164</v>
      </c>
      <c r="D71" s="3" t="s">
        <v>31</v>
      </c>
    </row>
    <row r="72" spans="2:7">
      <c r="B72" s="14"/>
    </row>
    <row r="73" spans="2:7">
      <c r="B73" s="14"/>
    </row>
    <row r="74" spans="2:7">
      <c r="B74" s="1" t="s">
        <v>47</v>
      </c>
    </row>
    <row r="75" spans="2:7">
      <c r="B75" s="14"/>
    </row>
    <row r="76" spans="2:7">
      <c r="B76" s="5" t="s">
        <v>28</v>
      </c>
      <c r="C76" s="6">
        <f>0.65+(C77-0.002)*0.25/0.003</f>
        <v>0.73333333333333339</v>
      </c>
      <c r="D76" s="3"/>
    </row>
    <row r="77" spans="2:7">
      <c r="B77" s="5" t="s">
        <v>41</v>
      </c>
      <c r="C77" s="3">
        <v>3.0000000000000001E-3</v>
      </c>
      <c r="D77" s="3"/>
    </row>
    <row r="78" spans="2:7">
      <c r="B78" s="3" t="s">
        <v>33</v>
      </c>
      <c r="C78" s="3">
        <f>C11*G21/(C11+C77)</f>
        <v>221</v>
      </c>
      <c r="D78" s="3" t="s">
        <v>10</v>
      </c>
    </row>
    <row r="79" spans="2:7">
      <c r="B79" s="3" t="s">
        <v>34</v>
      </c>
      <c r="C79" s="8">
        <f>C12*C78</f>
        <v>187.85</v>
      </c>
      <c r="D79" s="3" t="s">
        <v>10</v>
      </c>
    </row>
    <row r="80" spans="2:7">
      <c r="B80" s="14"/>
    </row>
    <row r="81" spans="2:7">
      <c r="B81" s="10" t="s">
        <v>0</v>
      </c>
      <c r="C81" s="11" t="s">
        <v>35</v>
      </c>
      <c r="D81" s="11" t="s">
        <v>36</v>
      </c>
      <c r="E81" s="10" t="s">
        <v>1</v>
      </c>
      <c r="F81" s="36" t="s">
        <v>42</v>
      </c>
      <c r="G81" s="36"/>
    </row>
    <row r="82" spans="2:7">
      <c r="B82" s="10">
        <v>1</v>
      </c>
      <c r="C82" s="12">
        <f>(($C$77+$C$11)*G18/$G$21)-$C$11</f>
        <v>-2.2126696832579186E-3</v>
      </c>
      <c r="D82" s="13">
        <f>-MAX(MIN(210000*C82,$C$16),-420)</f>
        <v>420</v>
      </c>
      <c r="E82" s="13">
        <f>D82*C18/1000</f>
        <v>422.23005258000001</v>
      </c>
      <c r="F82" s="36" t="s">
        <v>44</v>
      </c>
      <c r="G82" s="36"/>
    </row>
    <row r="83" spans="2:7">
      <c r="B83" s="10">
        <v>2</v>
      </c>
      <c r="C83" s="12">
        <f t="shared" ref="C83:C85" si="4">(($C$77+$C$11)*G19/$G$21)-$C$11</f>
        <v>-4.751131221719454E-4</v>
      </c>
      <c r="D83" s="13">
        <f t="shared" ref="D83:D85" si="5">-MAX(MIN(210000*C83,$C$16),-420)</f>
        <v>99.773755656108534</v>
      </c>
      <c r="E83" s="13">
        <f>D83*C19/1000</f>
        <v>60.182111526923038</v>
      </c>
      <c r="F83" s="36" t="s">
        <v>44</v>
      </c>
      <c r="G83" s="36"/>
    </row>
    <row r="84" spans="2:7">
      <c r="B84" s="10">
        <v>3</v>
      </c>
      <c r="C84" s="12">
        <f t="shared" si="4"/>
        <v>1.2624434389140278E-3</v>
      </c>
      <c r="D84" s="13">
        <f t="shared" si="5"/>
        <v>-265.1131221719458</v>
      </c>
      <c r="E84" s="13">
        <f t="shared" ref="E84:E85" si="6">D84*C20/1000</f>
        <v>-159.91246777153853</v>
      </c>
      <c r="F84" s="36" t="s">
        <v>45</v>
      </c>
      <c r="G84" s="36"/>
    </row>
    <row r="85" spans="2:7">
      <c r="B85" s="10">
        <v>4</v>
      </c>
      <c r="C85" s="12">
        <f t="shared" si="4"/>
        <v>3.0000000000000001E-3</v>
      </c>
      <c r="D85" s="13">
        <f t="shared" si="5"/>
        <v>-420</v>
      </c>
      <c r="E85" s="13">
        <f t="shared" si="6"/>
        <v>-422.23005258000001</v>
      </c>
      <c r="F85" s="36" t="s">
        <v>46</v>
      </c>
      <c r="G85" s="36"/>
    </row>
    <row r="86" spans="2:7">
      <c r="B86" s="10" t="s">
        <v>2</v>
      </c>
      <c r="C86" s="10"/>
      <c r="D86" s="10"/>
      <c r="E86" s="13">
        <f>0.85*C7*C79*C8/1000</f>
        <v>2235.415</v>
      </c>
    </row>
    <row r="87" spans="2:7">
      <c r="B87" s="14"/>
    </row>
    <row r="88" spans="2:7">
      <c r="B88" s="3" t="s">
        <v>29</v>
      </c>
      <c r="C88" s="6">
        <f>SUM(E82:E86)</f>
        <v>2135.6846437553845</v>
      </c>
      <c r="D88" s="3" t="s">
        <v>30</v>
      </c>
    </row>
    <row r="89" spans="2:7">
      <c r="B89" s="3" t="s">
        <v>39</v>
      </c>
      <c r="C89" s="6">
        <f>(ABS(E82)*(0.5*$C$9-G18)+ABS(E83)*(0.5*$C$9-G19)+ABS(E84)*(G20-0.5*$C$9)+ABS(E85)*(G21-0.5*$C$9)+ABS(E86)*(0.5*$C$9-0.5*C79))/1000</f>
        <v>525.11478939082144</v>
      </c>
      <c r="D89" s="3" t="s">
        <v>31</v>
      </c>
    </row>
    <row r="90" spans="2:7">
      <c r="B90" s="5" t="s">
        <v>37</v>
      </c>
      <c r="C90" s="6">
        <f>C76*C88</f>
        <v>1566.1687387539487</v>
      </c>
      <c r="D90" s="3" t="s">
        <v>30</v>
      </c>
    </row>
    <row r="91" spans="2:7">
      <c r="B91" s="5" t="s">
        <v>38</v>
      </c>
      <c r="C91" s="6">
        <f>C76*C89</f>
        <v>385.08417888660244</v>
      </c>
      <c r="D91" s="3" t="s">
        <v>31</v>
      </c>
    </row>
    <row r="92" spans="2:7">
      <c r="B92" s="14"/>
    </row>
    <row r="93" spans="2:7">
      <c r="B93" s="14"/>
    </row>
    <row r="94" spans="2:7">
      <c r="B94" s="1" t="s">
        <v>48</v>
      </c>
    </row>
    <row r="95" spans="2:7">
      <c r="B95" s="14"/>
    </row>
    <row r="96" spans="2:7">
      <c r="B96" s="5" t="s">
        <v>28</v>
      </c>
      <c r="C96" s="3">
        <v>0.9</v>
      </c>
      <c r="D96" s="3"/>
    </row>
    <row r="97" spans="2:7">
      <c r="B97" s="5" t="s">
        <v>41</v>
      </c>
      <c r="C97" s="3">
        <v>5.1000000000000004E-3</v>
      </c>
      <c r="D97" s="3"/>
    </row>
    <row r="98" spans="2:7">
      <c r="B98" s="3" t="s">
        <v>33</v>
      </c>
      <c r="C98" s="8">
        <f>(C11*G21)/(C11+C97)</f>
        <v>163.70370370370372</v>
      </c>
      <c r="D98" s="3" t="s">
        <v>10</v>
      </c>
    </row>
    <row r="99" spans="2:7">
      <c r="B99" s="3" t="s">
        <v>34</v>
      </c>
      <c r="C99" s="8">
        <f>C12*C98</f>
        <v>139.14814814814815</v>
      </c>
      <c r="D99" s="3" t="s">
        <v>10</v>
      </c>
    </row>
    <row r="100" spans="2:7">
      <c r="B100" s="14"/>
    </row>
    <row r="101" spans="2:7">
      <c r="B101" s="10" t="s">
        <v>0</v>
      </c>
      <c r="C101" s="11" t="s">
        <v>35</v>
      </c>
      <c r="D101" s="11" t="s">
        <v>36</v>
      </c>
      <c r="E101" s="10" t="s">
        <v>1</v>
      </c>
      <c r="F101" s="36" t="s">
        <v>42</v>
      </c>
      <c r="G101" s="36"/>
    </row>
    <row r="102" spans="2:7">
      <c r="B102" s="10">
        <v>1</v>
      </c>
      <c r="C102" s="12">
        <f>(($C$97+$C$11)*G18/$G$21)-$C$11</f>
        <v>-1.9371040723981901E-3</v>
      </c>
      <c r="D102" s="13">
        <f>-MAX(MIN(210000*C102,$C$16),-420)</f>
        <v>406.79185520361995</v>
      </c>
      <c r="E102" s="13">
        <f>D102*C18/1000</f>
        <v>408.95177717081003</v>
      </c>
      <c r="F102" s="36" t="s">
        <v>44</v>
      </c>
      <c r="G102" s="36"/>
    </row>
    <row r="103" spans="2:7">
      <c r="B103" s="10">
        <v>2</v>
      </c>
      <c r="C103" s="12">
        <f t="shared" ref="C103:C105" si="7">(($C$97+$C$11)*G19/$G$21)-$C$11</f>
        <v>4.0859728506787308E-4</v>
      </c>
      <c r="D103" s="13">
        <f t="shared" ref="D103:D105" si="8">-MAX(MIN(210000*C103,$C$16),-420)</f>
        <v>-85.805429864253341</v>
      </c>
      <c r="E103" s="13">
        <f t="shared" ref="E103:E105" si="9">D103*C19/1000</f>
        <v>-51.756615913153816</v>
      </c>
      <c r="F103" s="36" t="s">
        <v>45</v>
      </c>
      <c r="G103" s="36"/>
    </row>
    <row r="104" spans="2:7">
      <c r="B104" s="10">
        <v>3</v>
      </c>
      <c r="C104" s="12">
        <f t="shared" si="7"/>
        <v>2.7542986425339354E-3</v>
      </c>
      <c r="D104" s="13">
        <f t="shared" si="8"/>
        <v>-420</v>
      </c>
      <c r="E104" s="13">
        <f t="shared" si="9"/>
        <v>-253.33803137999999</v>
      </c>
      <c r="F104" s="36" t="s">
        <v>46</v>
      </c>
      <c r="G104" s="36"/>
    </row>
    <row r="105" spans="2:7">
      <c r="B105" s="10">
        <v>4</v>
      </c>
      <c r="C105" s="12">
        <f t="shared" si="7"/>
        <v>5.0999999999999995E-3</v>
      </c>
      <c r="D105" s="13">
        <f t="shared" si="8"/>
        <v>-420</v>
      </c>
      <c r="E105" s="13">
        <f t="shared" si="9"/>
        <v>-422.23005258000001</v>
      </c>
      <c r="F105" s="36" t="s">
        <v>46</v>
      </c>
      <c r="G105" s="36"/>
    </row>
    <row r="106" spans="2:7">
      <c r="B106" s="10" t="s">
        <v>2</v>
      </c>
      <c r="C106" s="10"/>
      <c r="D106" s="10"/>
      <c r="E106" s="13">
        <f>0.85*C7*C99*C8/1000</f>
        <v>1655.8629629629631</v>
      </c>
    </row>
    <row r="107" spans="2:7">
      <c r="B107" s="14"/>
    </row>
    <row r="108" spans="2:7">
      <c r="B108" s="3" t="s">
        <v>29</v>
      </c>
      <c r="C108" s="6">
        <f>SUM(E102:E106)</f>
        <v>1337.4900402606195</v>
      </c>
      <c r="D108" s="3" t="s">
        <v>30</v>
      </c>
    </row>
    <row r="109" spans="2:7">
      <c r="B109" s="3" t="s">
        <v>39</v>
      </c>
      <c r="C109" s="6">
        <f>(E102*(0.5*$C$9-G18)+E103*(0.5*$C$9-G19)+E104*(0.5*$C$9-G20)+E105*(0.5*$C$9-G21)+E106*(0.5*$C$9-0.5*C99))/1000</f>
        <v>471.2487302010735</v>
      </c>
      <c r="D109" s="3" t="s">
        <v>31</v>
      </c>
    </row>
    <row r="110" spans="2:7">
      <c r="B110" s="5" t="s">
        <v>37</v>
      </c>
      <c r="C110" s="6">
        <f>C96*C108</f>
        <v>1203.7410362345577</v>
      </c>
      <c r="D110" s="3" t="s">
        <v>30</v>
      </c>
    </row>
    <row r="111" spans="2:7">
      <c r="B111" s="5" t="s">
        <v>38</v>
      </c>
      <c r="C111" s="6">
        <f>C96*C109</f>
        <v>424.12385718096618</v>
      </c>
      <c r="D111" s="3" t="s">
        <v>31</v>
      </c>
    </row>
    <row r="112" spans="2:7">
      <c r="B112" s="14"/>
    </row>
    <row r="113" spans="2:7">
      <c r="B113" s="14"/>
    </row>
    <row r="114" spans="2:7">
      <c r="B114" s="1" t="s">
        <v>49</v>
      </c>
    </row>
    <row r="116" spans="2:7">
      <c r="B116" s="15" t="s">
        <v>28</v>
      </c>
      <c r="C116" s="16">
        <v>0.9</v>
      </c>
      <c r="D116" s="3"/>
    </row>
    <row r="117" spans="2:7">
      <c r="B117" s="17" t="s">
        <v>33</v>
      </c>
      <c r="C117" s="18">
        <v>76.618836993480258</v>
      </c>
      <c r="D117" s="3" t="s">
        <v>10</v>
      </c>
    </row>
    <row r="118" spans="2:7">
      <c r="B118" s="17" t="s">
        <v>34</v>
      </c>
      <c r="C118" s="18">
        <f>C12*C117</f>
        <v>65.126011444458214</v>
      </c>
      <c r="D118" s="3" t="s">
        <v>10</v>
      </c>
    </row>
    <row r="119" spans="2:7">
      <c r="B119" s="15" t="s">
        <v>41</v>
      </c>
      <c r="C119" s="18">
        <f>C11*(G21-C117)/C117</f>
        <v>1.4306449066994237E-2</v>
      </c>
      <c r="D119" s="3"/>
    </row>
    <row r="121" spans="2:7">
      <c r="B121" s="10" t="s">
        <v>0</v>
      </c>
      <c r="C121" s="11" t="s">
        <v>35</v>
      </c>
      <c r="D121" s="11" t="s">
        <v>36</v>
      </c>
      <c r="E121" s="10" t="s">
        <v>1</v>
      </c>
      <c r="F121" s="36" t="s">
        <v>42</v>
      </c>
      <c r="G121" s="36"/>
    </row>
    <row r="122" spans="2:7">
      <c r="B122" s="10">
        <v>1</v>
      </c>
      <c r="C122" s="12">
        <f>(($C$119+$C$11)*G18/$G$21)-$C$11</f>
        <v>-7.2901799573378773E-4</v>
      </c>
      <c r="D122" s="13">
        <f>-MAX(MIN(210000*C122,$C$16),-420)</f>
        <v>153.09377910409543</v>
      </c>
      <c r="E122" s="13">
        <f>D122*C18/1000</f>
        <v>153.90665333522173</v>
      </c>
      <c r="F122" s="36" t="s">
        <v>44</v>
      </c>
      <c r="G122" s="36"/>
    </row>
    <row r="123" spans="2:7">
      <c r="B123" s="10">
        <v>2</v>
      </c>
      <c r="C123" s="12">
        <f>(($C$119+$C$11)*G19/$G$21)-$C$11</f>
        <v>4.2828043585088878E-3</v>
      </c>
      <c r="D123" s="13">
        <f t="shared" ref="D123:D125" si="10">-MAX(MIN(210000*C123,$C$16),-420)</f>
        <v>-420</v>
      </c>
      <c r="E123" s="13">
        <f>D123*C19/1000</f>
        <v>-253.33803137999999</v>
      </c>
      <c r="F123" s="36" t="s">
        <v>45</v>
      </c>
      <c r="G123" s="36"/>
    </row>
    <row r="124" spans="2:7">
      <c r="B124" s="10">
        <v>3</v>
      </c>
      <c r="C124" s="12">
        <f>(($C$119+$C$11)*G20/$G$21)-$C$11</f>
        <v>9.2946267127515629E-3</v>
      </c>
      <c r="D124" s="13">
        <f t="shared" si="10"/>
        <v>-420</v>
      </c>
      <c r="E124" s="13">
        <f>D124*C20/1000</f>
        <v>-253.33803137999999</v>
      </c>
      <c r="F124" s="36" t="s">
        <v>46</v>
      </c>
      <c r="G124" s="36"/>
    </row>
    <row r="125" spans="2:7">
      <c r="B125" s="10">
        <v>4</v>
      </c>
      <c r="C125" s="12">
        <f>(($C$119+$C$11)*G21/$G$21)-$C$11</f>
        <v>1.4306449066994239E-2</v>
      </c>
      <c r="D125" s="13">
        <f t="shared" si="10"/>
        <v>-420</v>
      </c>
      <c r="E125" s="13">
        <f>D125*C21/1000</f>
        <v>-422.23005258000001</v>
      </c>
      <c r="F125" s="36" t="s">
        <v>46</v>
      </c>
      <c r="G125" s="36"/>
    </row>
    <row r="126" spans="2:7">
      <c r="B126" s="10" t="s">
        <v>2</v>
      </c>
      <c r="C126" s="10"/>
      <c r="D126" s="10"/>
      <c r="E126" s="13">
        <f>0.85*C7*C118*C8/1000</f>
        <v>774.99953618905272</v>
      </c>
    </row>
    <row r="127" spans="2:7">
      <c r="B127" s="19"/>
      <c r="C127" s="19"/>
      <c r="D127" s="19"/>
      <c r="E127" s="19"/>
      <c r="F127" s="19"/>
      <c r="G127" s="20"/>
    </row>
    <row r="128" spans="2:7">
      <c r="B128" s="3" t="s">
        <v>29</v>
      </c>
      <c r="C128" s="6">
        <f>SUM(E122:E126)</f>
        <v>7.4184274467370415E-5</v>
      </c>
      <c r="D128" s="3" t="s">
        <v>30</v>
      </c>
      <c r="E128" s="31" t="s">
        <v>60</v>
      </c>
      <c r="G128" s="20"/>
    </row>
    <row r="129" spans="2:7">
      <c r="B129" s="3" t="s">
        <v>39</v>
      </c>
      <c r="C129" s="6">
        <f>(E122*(0.5*$C$9-G18)+E123*(0.5*$C$9-G19)+E124*(0.5*$C$9-G20)+E125*(0.5*$C$9-G21)+E126*(0.5*$C$9-0.5*C118))/1000</f>
        <v>279.13181725133677</v>
      </c>
      <c r="D129" s="3" t="s">
        <v>31</v>
      </c>
      <c r="E129" s="19"/>
      <c r="F129" s="19"/>
      <c r="G129" s="20"/>
    </row>
    <row r="130" spans="2:7">
      <c r="B130" s="5" t="s">
        <v>37</v>
      </c>
      <c r="C130" s="6">
        <f>C116*C128</f>
        <v>6.6765847020633376E-5</v>
      </c>
      <c r="D130" s="3" t="s">
        <v>30</v>
      </c>
      <c r="E130" s="19"/>
      <c r="F130" s="19"/>
      <c r="G130" s="20"/>
    </row>
    <row r="131" spans="2:7">
      <c r="B131" s="5" t="s">
        <v>38</v>
      </c>
      <c r="C131" s="6">
        <f>C116*C129</f>
        <v>251.21863552620309</v>
      </c>
      <c r="D131" s="3" t="s">
        <v>31</v>
      </c>
      <c r="E131" s="19"/>
      <c r="F131" s="19"/>
      <c r="G131" s="20"/>
    </row>
    <row r="132" spans="2:7">
      <c r="B132" s="19"/>
      <c r="C132" s="19"/>
      <c r="D132" s="19"/>
      <c r="E132" s="19"/>
      <c r="F132" s="19"/>
      <c r="G132" s="20"/>
    </row>
    <row r="133" spans="2:7">
      <c r="B133" s="19"/>
      <c r="C133" s="19"/>
      <c r="D133" s="19"/>
      <c r="E133" s="19"/>
      <c r="F133" s="19"/>
      <c r="G133" s="20"/>
    </row>
    <row r="134" spans="2:7">
      <c r="B134" s="7" t="s">
        <v>50</v>
      </c>
      <c r="C134" s="19"/>
      <c r="D134" s="19"/>
      <c r="E134" s="19"/>
      <c r="F134" s="19"/>
      <c r="G134" s="20"/>
    </row>
    <row r="135" spans="2:7">
      <c r="B135" s="19"/>
      <c r="C135" s="19"/>
      <c r="D135" s="19"/>
      <c r="E135" s="19"/>
      <c r="F135" s="19"/>
      <c r="G135" s="20"/>
    </row>
    <row r="136" spans="2:7">
      <c r="B136" s="5" t="s">
        <v>28</v>
      </c>
      <c r="C136" s="3">
        <v>0.9</v>
      </c>
      <c r="D136" s="3"/>
      <c r="E136" s="19"/>
      <c r="F136" s="19"/>
      <c r="G136" s="20"/>
    </row>
    <row r="137" spans="2:7">
      <c r="B137" s="3" t="s">
        <v>29</v>
      </c>
      <c r="C137" s="8">
        <f>-C16*C22/1000</f>
        <v>-1351.1361679199999</v>
      </c>
      <c r="D137" s="3" t="s">
        <v>30</v>
      </c>
      <c r="E137" s="19"/>
      <c r="F137" s="19"/>
      <c r="G137" s="20"/>
    </row>
    <row r="138" spans="2:7">
      <c r="B138" s="3" t="s">
        <v>39</v>
      </c>
      <c r="C138" s="8">
        <v>0</v>
      </c>
      <c r="D138" s="3" t="s">
        <v>31</v>
      </c>
      <c r="E138" s="19"/>
      <c r="F138" s="19"/>
      <c r="G138" s="20"/>
    </row>
    <row r="139" spans="2:7">
      <c r="B139" s="5" t="s">
        <v>37</v>
      </c>
      <c r="C139" s="8">
        <f>C136*C137</f>
        <v>-1216.022551128</v>
      </c>
      <c r="D139" s="3" t="s">
        <v>30</v>
      </c>
      <c r="E139" s="19"/>
      <c r="F139" s="19"/>
      <c r="G139" s="20"/>
    </row>
    <row r="140" spans="2:7">
      <c r="B140" s="5" t="s">
        <v>38</v>
      </c>
      <c r="C140" s="3">
        <v>0</v>
      </c>
      <c r="D140" s="3" t="s">
        <v>31</v>
      </c>
      <c r="E140" s="37"/>
      <c r="F140" s="37"/>
      <c r="G140" s="20"/>
    </row>
    <row r="141" spans="2:7">
      <c r="B141" s="19"/>
      <c r="C141" s="19"/>
      <c r="D141" s="19"/>
      <c r="E141" s="19"/>
      <c r="F141" s="19"/>
      <c r="G141" s="20"/>
    </row>
    <row r="142" spans="2:7">
      <c r="B142" s="19"/>
      <c r="C142" s="19"/>
      <c r="D142" s="19"/>
      <c r="E142" s="19"/>
      <c r="F142" s="19"/>
      <c r="G142" s="20"/>
    </row>
    <row r="144" spans="2:7">
      <c r="B144" s="21"/>
      <c r="C144" s="21" t="s">
        <v>3</v>
      </c>
      <c r="D144" s="21" t="s">
        <v>4</v>
      </c>
      <c r="E144" s="32" t="s">
        <v>58</v>
      </c>
      <c r="F144" s="32" t="s">
        <v>59</v>
      </c>
    </row>
    <row r="145" spans="2:6">
      <c r="B145" s="30" t="s">
        <v>51</v>
      </c>
      <c r="C145" s="26">
        <f>C29</f>
        <v>0</v>
      </c>
      <c r="D145" s="26">
        <f>C28</f>
        <v>7224.5717850711999</v>
      </c>
      <c r="E145" s="33">
        <f>C31</f>
        <v>0</v>
      </c>
      <c r="F145" s="26">
        <f>C30</f>
        <v>3756.777328237024</v>
      </c>
    </row>
    <row r="146" spans="2:6">
      <c r="B146" s="30" t="s">
        <v>52</v>
      </c>
      <c r="C146" s="27">
        <f>C49</f>
        <v>480.37684031752315</v>
      </c>
      <c r="D146" s="27">
        <f>C48</f>
        <v>4013.1476587456</v>
      </c>
      <c r="E146" s="27">
        <f>C51</f>
        <v>312.24494620639007</v>
      </c>
      <c r="F146" s="27">
        <f>C50</f>
        <v>2608.5459781846403</v>
      </c>
    </row>
    <row r="147" spans="2:6">
      <c r="B147" s="30" t="s">
        <v>53</v>
      </c>
      <c r="C147" s="27">
        <f>C69</f>
        <v>540.98053530455638</v>
      </c>
      <c r="D147" s="27">
        <f>C68</f>
        <v>2659.1313113130768</v>
      </c>
      <c r="E147" s="27">
        <f>C71</f>
        <v>351.63734794796164</v>
      </c>
      <c r="F147" s="27">
        <f>C70</f>
        <v>1728.4353523535001</v>
      </c>
    </row>
    <row r="148" spans="2:6">
      <c r="B148" s="30" t="s">
        <v>54</v>
      </c>
      <c r="C148" s="27">
        <f>C89</f>
        <v>525.11478939082144</v>
      </c>
      <c r="D148" s="27">
        <f>C88</f>
        <v>2135.6846437553845</v>
      </c>
      <c r="E148" s="27">
        <f>C91</f>
        <v>385.08417888660244</v>
      </c>
      <c r="F148" s="27">
        <f>C90</f>
        <v>1566.1687387539487</v>
      </c>
    </row>
    <row r="149" spans="2:6">
      <c r="B149" s="30" t="s">
        <v>55</v>
      </c>
      <c r="C149" s="27">
        <f>C109</f>
        <v>471.2487302010735</v>
      </c>
      <c r="D149" s="27">
        <f>C108</f>
        <v>1337.4900402606195</v>
      </c>
      <c r="E149" s="27">
        <f>C111</f>
        <v>424.12385718096618</v>
      </c>
      <c r="F149" s="27">
        <f>C110</f>
        <v>1203.7410362345577</v>
      </c>
    </row>
    <row r="150" spans="2:6">
      <c r="B150" s="30" t="s">
        <v>56</v>
      </c>
      <c r="C150" s="27">
        <f>C129</f>
        <v>279.13181725133677</v>
      </c>
      <c r="D150" s="27">
        <f>C128</f>
        <v>7.4184274467370415E-5</v>
      </c>
      <c r="E150" s="27">
        <f>C131</f>
        <v>251.21863552620309</v>
      </c>
      <c r="F150" s="27">
        <f>C130</f>
        <v>6.6765847020633376E-5</v>
      </c>
    </row>
    <row r="151" spans="2:6">
      <c r="B151" s="17" t="s">
        <v>57</v>
      </c>
      <c r="C151" s="22">
        <f>C138</f>
        <v>0</v>
      </c>
      <c r="D151" s="22">
        <f>C137</f>
        <v>-1351.1361679199999</v>
      </c>
      <c r="E151" s="10">
        <f>C140</f>
        <v>0</v>
      </c>
      <c r="F151" s="22">
        <f>C139</f>
        <v>-1216.022551128</v>
      </c>
    </row>
    <row r="152" spans="2:6">
      <c r="B152" s="28" t="s">
        <v>56</v>
      </c>
      <c r="C152" s="29">
        <f>-C150</f>
        <v>-279.13181725133677</v>
      </c>
      <c r="D152" s="29">
        <f>-D150</f>
        <v>-7.4184274467370415E-5</v>
      </c>
      <c r="E152" s="34">
        <f>-E150</f>
        <v>-251.21863552620309</v>
      </c>
      <c r="F152" s="29">
        <f>F150</f>
        <v>6.6765847020633376E-5</v>
      </c>
    </row>
    <row r="153" spans="2:6">
      <c r="B153" s="28" t="s">
        <v>55</v>
      </c>
      <c r="C153" s="29">
        <f>-C149</f>
        <v>-471.2487302010735</v>
      </c>
      <c r="D153" s="29">
        <f>D149</f>
        <v>1337.4900402606195</v>
      </c>
      <c r="E153" s="34">
        <f>-E149</f>
        <v>-424.12385718096618</v>
      </c>
      <c r="F153" s="29">
        <f>F149</f>
        <v>1203.7410362345577</v>
      </c>
    </row>
    <row r="154" spans="2:6">
      <c r="B154" s="28" t="s">
        <v>54</v>
      </c>
      <c r="C154" s="29">
        <f>-C148</f>
        <v>-525.11478939082144</v>
      </c>
      <c r="D154" s="29">
        <f>D148</f>
        <v>2135.6846437553845</v>
      </c>
      <c r="E154" s="34">
        <f>-E148</f>
        <v>-385.08417888660244</v>
      </c>
      <c r="F154" s="29">
        <f>F148</f>
        <v>1566.1687387539487</v>
      </c>
    </row>
    <row r="155" spans="2:6">
      <c r="B155" s="28" t="s">
        <v>53</v>
      </c>
      <c r="C155" s="29">
        <f>-C147</f>
        <v>-540.98053530455638</v>
      </c>
      <c r="D155" s="29">
        <f>D147</f>
        <v>2659.1313113130768</v>
      </c>
      <c r="E155" s="34">
        <f>-E147</f>
        <v>-351.63734794796164</v>
      </c>
      <c r="F155" s="29">
        <f>F147</f>
        <v>1728.4353523535001</v>
      </c>
    </row>
    <row r="156" spans="2:6">
      <c r="B156" s="28" t="s">
        <v>52</v>
      </c>
      <c r="C156" s="29">
        <f>-C146</f>
        <v>-480.37684031752315</v>
      </c>
      <c r="D156" s="29">
        <f>D146</f>
        <v>4013.1476587456</v>
      </c>
      <c r="E156" s="34">
        <f>-E146</f>
        <v>-312.24494620639007</v>
      </c>
      <c r="F156" s="29">
        <f>F146</f>
        <v>2608.5459781846403</v>
      </c>
    </row>
    <row r="157" spans="2:6">
      <c r="B157" s="28" t="s">
        <v>51</v>
      </c>
      <c r="C157" s="29">
        <f>-C145</f>
        <v>0</v>
      </c>
      <c r="D157" s="29">
        <f>D145</f>
        <v>7224.5717850711999</v>
      </c>
      <c r="E157" s="35">
        <f>-E145</f>
        <v>0</v>
      </c>
      <c r="F157" s="29">
        <f>F145</f>
        <v>3756.777328237024</v>
      </c>
    </row>
    <row r="158" spans="2:6">
      <c r="B158" s="23"/>
      <c r="C158" s="24"/>
      <c r="D158" s="24"/>
      <c r="F158" s="25"/>
    </row>
    <row r="159" spans="2:6">
      <c r="B159" s="23"/>
      <c r="C159" s="24"/>
      <c r="D159" s="24"/>
      <c r="F159" s="25"/>
    </row>
    <row r="160" spans="2:6">
      <c r="B160" s="23"/>
      <c r="C160" s="24"/>
      <c r="D160" s="24"/>
      <c r="F160" s="25"/>
    </row>
    <row r="161" spans="2:6">
      <c r="B161" s="23"/>
      <c r="C161" s="24"/>
      <c r="D161" s="24"/>
      <c r="F161" s="25"/>
    </row>
    <row r="162" spans="2:6">
      <c r="B162" s="23"/>
      <c r="C162" s="24"/>
      <c r="D162" s="24"/>
      <c r="F162" s="25"/>
    </row>
    <row r="163" spans="2:6">
      <c r="B163" s="23"/>
      <c r="C163" s="24"/>
      <c r="D163" s="24"/>
      <c r="F163" s="25"/>
    </row>
    <row r="164" spans="2:6">
      <c r="B164" s="23"/>
      <c r="C164" s="24"/>
      <c r="D164" s="24"/>
      <c r="F164" s="25"/>
    </row>
    <row r="166" spans="2:6">
      <c r="B166" s="1"/>
    </row>
    <row r="167" spans="2:6">
      <c r="B167" s="1"/>
      <c r="C167" s="1"/>
      <c r="D167" s="1"/>
      <c r="E167" s="1"/>
      <c r="F167" s="1"/>
    </row>
  </sheetData>
  <mergeCells count="27">
    <mergeCell ref="F125:G125"/>
    <mergeCell ref="E140:F140"/>
    <mergeCell ref="B25:C25"/>
    <mergeCell ref="F41:G41"/>
    <mergeCell ref="F42:G42"/>
    <mergeCell ref="F43:G43"/>
    <mergeCell ref="F44:G44"/>
    <mergeCell ref="F45:G45"/>
    <mergeCell ref="F61:G61"/>
    <mergeCell ref="F103:G103"/>
    <mergeCell ref="F62:G62"/>
    <mergeCell ref="F63:G63"/>
    <mergeCell ref="F64:G64"/>
    <mergeCell ref="F65:G65"/>
    <mergeCell ref="F81:G81"/>
    <mergeCell ref="F82:G82"/>
    <mergeCell ref="F83:G83"/>
    <mergeCell ref="F124:G124"/>
    <mergeCell ref="F84:G84"/>
    <mergeCell ref="F85:G85"/>
    <mergeCell ref="F101:G101"/>
    <mergeCell ref="F102:G102"/>
    <mergeCell ref="F104:G104"/>
    <mergeCell ref="F105:G105"/>
    <mergeCell ref="F121:G121"/>
    <mergeCell ref="F122:G122"/>
    <mergeCell ref="F123:G123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Elemento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paz arrieta</dc:creator>
  <cp:lastModifiedBy>MONSERRAT  CUBILLOS TOME</cp:lastModifiedBy>
  <dcterms:created xsi:type="dcterms:W3CDTF">2026-06-24T14:04:24Z</dcterms:created>
  <dcterms:modified xsi:type="dcterms:W3CDTF">2026-09-10T03:19:33Z</dcterms:modified>
</cp:coreProperties>
</file>